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Dashboard" sheetId="1" state="visible" r:id="rId1"/>
    <sheet name="Monthly Revenue" sheetId="2" state="visible" r:id="rId2"/>
    <sheet name="Country Sales" sheetId="3" state="visible" r:id="rId3"/>
    <sheet name="Top 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1F4E78"/>
      <sz val="14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Online Retail II - KPI Summary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Revenue (GBP)</t>
        </is>
      </c>
      <c r="B4" s="4">
        <f>SUM('Monthly Revenue'!B2:B26)</f>
        <v/>
      </c>
    </row>
    <row r="5">
      <c r="A5" s="3" t="inlineStr">
        <is>
          <t>Total Orders</t>
        </is>
      </c>
      <c r="B5" s="3">
        <f>SUM('Monthly Revenue'!C2:C26)</f>
        <v/>
      </c>
    </row>
    <row r="6">
      <c r="A6" s="3" t="inlineStr">
        <is>
          <t>Avg Monthly Revenue (GBP)</t>
        </is>
      </c>
      <c r="B6" s="4">
        <f>AVERAGE('Monthly Revenue'!B2:B26)</f>
        <v/>
      </c>
    </row>
    <row r="7">
      <c r="A7" s="3" t="inlineStr">
        <is>
          <t>Avg Order Value (GBP)</t>
        </is>
      </c>
      <c r="B7" s="4">
        <f>B4/B5</f>
        <v/>
      </c>
    </row>
    <row r="8">
      <c r="A8" s="3" t="inlineStr">
        <is>
          <t>Number of Countries</t>
        </is>
      </c>
      <c r="B8" s="3">
        <f>COUNTA('Country Sales'!A2:A16)</f>
        <v/>
      </c>
    </row>
    <row r="9">
      <c r="A9" s="3" t="inlineStr">
        <is>
          <t>Top Country by Revenue</t>
        </is>
      </c>
      <c r="B9" s="3">
        <f>INDEX('Country Sales'!A2:A16, MATCH(MAX('Country Sales'!B2:B16), 'Country Sales'!B2:B16, 0))</f>
        <v/>
      </c>
    </row>
    <row r="10">
      <c r="A10" s="3" t="inlineStr">
        <is>
          <t>Top Product by Revenue</t>
        </is>
      </c>
      <c r="B10" s="3">
        <f>INDEX('Top Products'!B2:B16, MATCH(MAX('Top Products'!D2:D16), 'Top Products'!D2:D16, 0))</f>
        <v/>
      </c>
    </row>
    <row r="12">
      <c r="A12" s="5" t="inlineStr">
        <is>
          <t>All KPI values above are live formulas pulling from the data sheets, not hardcoded numbers.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5" customWidth="1" min="3" max="3"/>
  </cols>
  <sheetData>
    <row r="1">
      <c r="A1" s="6" t="inlineStr">
        <is>
          <t>invoice_year_month</t>
        </is>
      </c>
      <c r="B1" s="6" t="inlineStr">
        <is>
          <t>total_revenue</t>
        </is>
      </c>
      <c r="C1" s="6" t="inlineStr">
        <is>
          <t>total_orders</t>
        </is>
      </c>
    </row>
    <row r="2">
      <c r="A2" s="3" t="inlineStr">
        <is>
          <t>2009-12</t>
        </is>
      </c>
      <c r="B2" s="3" t="n">
        <v>798118.53</v>
      </c>
      <c r="C2" s="3" t="n">
        <v>1666</v>
      </c>
    </row>
    <row r="3">
      <c r="A3" s="3" t="inlineStr">
        <is>
          <t>2010-01</t>
        </is>
      </c>
      <c r="B3" s="3" t="n">
        <v>621263.4300000001</v>
      </c>
      <c r="C3" s="3" t="n">
        <v>1085</v>
      </c>
    </row>
    <row r="4">
      <c r="A4" s="3" t="inlineStr">
        <is>
          <t>2010-02</t>
        </is>
      </c>
      <c r="B4" s="3" t="n">
        <v>537926.6899999999</v>
      </c>
      <c r="C4" s="3" t="n">
        <v>1189</v>
      </c>
    </row>
    <row r="5">
      <c r="A5" s="3" t="inlineStr">
        <is>
          <t>2010-03</t>
        </is>
      </c>
      <c r="B5" s="3" t="n">
        <v>761748.53</v>
      </c>
      <c r="C5" s="3" t="n">
        <v>1647</v>
      </c>
    </row>
    <row r="6">
      <c r="A6" s="3" t="inlineStr">
        <is>
          <t>2010-04</t>
        </is>
      </c>
      <c r="B6" s="3" t="n">
        <v>646451.5600000001</v>
      </c>
      <c r="C6" s="3" t="n">
        <v>1435</v>
      </c>
    </row>
    <row r="7">
      <c r="A7" s="3" t="inlineStr">
        <is>
          <t>2010-05</t>
        </is>
      </c>
      <c r="B7" s="3" t="n">
        <v>643585.64</v>
      </c>
      <c r="C7" s="3" t="n">
        <v>1484</v>
      </c>
    </row>
    <row r="8">
      <c r="A8" s="3" t="inlineStr">
        <is>
          <t>2010-06</t>
        </is>
      </c>
      <c r="B8" s="3" t="n">
        <v>697382.3199999999</v>
      </c>
      <c r="C8" s="3" t="n">
        <v>1615</v>
      </c>
    </row>
    <row r="9">
      <c r="A9" s="3" t="inlineStr">
        <is>
          <t>2010-07</t>
        </is>
      </c>
      <c r="B9" s="3" t="n">
        <v>633079.42</v>
      </c>
      <c r="C9" s="3" t="n">
        <v>1507</v>
      </c>
    </row>
    <row r="10">
      <c r="A10" s="3" t="inlineStr">
        <is>
          <t>2010-08</t>
        </is>
      </c>
      <c r="B10" s="3" t="n">
        <v>674192.89</v>
      </c>
      <c r="C10" s="3" t="n">
        <v>1402</v>
      </c>
    </row>
    <row r="11">
      <c r="A11" s="3" t="inlineStr">
        <is>
          <t>2010-09</t>
        </is>
      </c>
      <c r="B11" s="3" t="n">
        <v>869277.16</v>
      </c>
      <c r="C11" s="3" t="n">
        <v>1789</v>
      </c>
    </row>
    <row r="12">
      <c r="A12" s="3" t="inlineStr">
        <is>
          <t>2010-10</t>
        </is>
      </c>
      <c r="B12" s="3" t="n">
        <v>1094563.63</v>
      </c>
      <c r="C12" s="3" t="n">
        <v>2244</v>
      </c>
    </row>
    <row r="13">
      <c r="A13" s="3" t="inlineStr">
        <is>
          <t>2010-11</t>
        </is>
      </c>
      <c r="B13" s="3" t="n">
        <v>1429751.84</v>
      </c>
      <c r="C13" s="3" t="n">
        <v>2719</v>
      </c>
    </row>
    <row r="14">
      <c r="A14" s="3" t="inlineStr">
        <is>
          <t>2010-12</t>
        </is>
      </c>
      <c r="B14" s="3" t="n">
        <v>775714.95</v>
      </c>
      <c r="C14" s="3" t="n">
        <v>1550</v>
      </c>
    </row>
    <row r="15">
      <c r="A15" s="3" t="inlineStr">
        <is>
          <t>2011-01</t>
        </is>
      </c>
      <c r="B15" s="3" t="n">
        <v>670439.46</v>
      </c>
      <c r="C15" s="3" t="n">
        <v>1081</v>
      </c>
    </row>
    <row r="16">
      <c r="A16" s="3" t="inlineStr">
        <is>
          <t>2011-02</t>
        </is>
      </c>
      <c r="B16" s="3" t="n">
        <v>507866.54</v>
      </c>
      <c r="C16" s="3" t="n">
        <v>1093</v>
      </c>
    </row>
    <row r="17">
      <c r="A17" s="3" t="inlineStr">
        <is>
          <t>2011-03</t>
        </is>
      </c>
      <c r="B17" s="3" t="n">
        <v>689841.84</v>
      </c>
      <c r="C17" s="3" t="n">
        <v>1440</v>
      </c>
    </row>
    <row r="18">
      <c r="A18" s="3" t="inlineStr">
        <is>
          <t>2011-04</t>
        </is>
      </c>
      <c r="B18" s="3" t="n">
        <v>515469.66</v>
      </c>
      <c r="C18" s="3" t="n">
        <v>1235</v>
      </c>
    </row>
    <row r="19">
      <c r="A19" s="3" t="inlineStr">
        <is>
          <t>2011-05</t>
        </is>
      </c>
      <c r="B19" s="3" t="n">
        <v>740036.33</v>
      </c>
      <c r="C19" s="3" t="n">
        <v>1668</v>
      </c>
    </row>
    <row r="20">
      <c r="A20" s="3" t="inlineStr">
        <is>
          <t>2011-06</t>
        </is>
      </c>
      <c r="B20" s="3" t="n">
        <v>737683.99</v>
      </c>
      <c r="C20" s="3" t="n">
        <v>1525</v>
      </c>
    </row>
    <row r="21">
      <c r="A21" s="3" t="inlineStr">
        <is>
          <t>2011-07</t>
        </is>
      </c>
      <c r="B21" s="3" t="n">
        <v>688252.67</v>
      </c>
      <c r="C21" s="3" t="n">
        <v>1452</v>
      </c>
    </row>
    <row r="22">
      <c r="A22" s="3" t="inlineStr">
        <is>
          <t>2011-08</t>
        </is>
      </c>
      <c r="B22" s="3" t="n">
        <v>735370.22</v>
      </c>
      <c r="C22" s="3" t="n">
        <v>1340</v>
      </c>
    </row>
    <row r="23">
      <c r="A23" s="3" t="inlineStr">
        <is>
          <t>2011-09</t>
        </is>
      </c>
      <c r="B23" s="3" t="n">
        <v>1028345.38</v>
      </c>
      <c r="C23" s="3" t="n">
        <v>1818</v>
      </c>
    </row>
    <row r="24">
      <c r="A24" s="3" t="inlineStr">
        <is>
          <t>2011-10</t>
        </is>
      </c>
      <c r="B24" s="3" t="n">
        <v>1103330.92</v>
      </c>
      <c r="C24" s="3" t="n">
        <v>2005</v>
      </c>
    </row>
    <row r="25">
      <c r="A25" s="3" t="inlineStr">
        <is>
          <t>2011-11</t>
        </is>
      </c>
      <c r="B25" s="3" t="n">
        <v>1452115.98</v>
      </c>
      <c r="C25" s="3" t="n">
        <v>2751</v>
      </c>
    </row>
    <row r="26">
      <c r="A26" s="3" t="inlineStr">
        <is>
          <t>2011-12</t>
        </is>
      </c>
      <c r="B26" s="3" t="n">
        <v>614499.25</v>
      </c>
      <c r="C26" s="3" t="n">
        <v>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9" customWidth="1" min="4" max="4"/>
  </cols>
  <sheetData>
    <row r="1">
      <c r="A1" s="6" t="inlineStr">
        <is>
          <t>country</t>
        </is>
      </c>
      <c r="B1" s="6" t="inlineStr">
        <is>
          <t>total_revenue</t>
        </is>
      </c>
      <c r="C1" s="6" t="inlineStr">
        <is>
          <t>total_orders</t>
        </is>
      </c>
      <c r="D1" s="6" t="inlineStr">
        <is>
          <t>unique_customers</t>
        </is>
      </c>
    </row>
    <row r="2">
      <c r="A2" s="3" t="inlineStr">
        <is>
          <t>United Kingdom</t>
        </is>
      </c>
      <c r="B2" s="3" t="n">
        <v>16821180.04</v>
      </c>
      <c r="C2" s="3" t="n">
        <v>36200</v>
      </c>
      <c r="D2" s="3" t="n">
        <v>5336</v>
      </c>
    </row>
    <row r="3">
      <c r="A3" s="3" t="inlineStr">
        <is>
          <t>EIRE</t>
        </is>
      </c>
      <c r="B3" s="3" t="n">
        <v>625037.53</v>
      </c>
      <c r="C3" s="3" t="n">
        <v>594</v>
      </c>
      <c r="D3" s="3" t="n">
        <v>5</v>
      </c>
    </row>
    <row r="4">
      <c r="A4" s="3" t="inlineStr">
        <is>
          <t>Netherlands</t>
        </is>
      </c>
      <c r="B4" s="3" t="n">
        <v>549773.41</v>
      </c>
      <c r="C4" s="3" t="n">
        <v>216</v>
      </c>
      <c r="D4" s="3" t="n">
        <v>22</v>
      </c>
    </row>
    <row r="5">
      <c r="A5" s="3" t="inlineStr">
        <is>
          <t>Germany</t>
        </is>
      </c>
      <c r="B5" s="3" t="n">
        <v>383419.24</v>
      </c>
      <c r="C5" s="3" t="n">
        <v>756</v>
      </c>
      <c r="D5" s="3" t="n">
        <v>107</v>
      </c>
    </row>
    <row r="6">
      <c r="A6" s="3" t="inlineStr">
        <is>
          <t>France</t>
        </is>
      </c>
      <c r="B6" s="3" t="n">
        <v>311147.02</v>
      </c>
      <c r="C6" s="3" t="n">
        <v>599</v>
      </c>
      <c r="D6" s="3" t="n">
        <v>94</v>
      </c>
    </row>
    <row r="7">
      <c r="A7" s="3" t="inlineStr">
        <is>
          <t>Australia</t>
        </is>
      </c>
      <c r="B7" s="3" t="n">
        <v>167800.01</v>
      </c>
      <c r="C7" s="3" t="n">
        <v>89</v>
      </c>
      <c r="D7" s="3" t="n">
        <v>15</v>
      </c>
    </row>
    <row r="8">
      <c r="A8" s="3" t="inlineStr">
        <is>
          <t>Spain</t>
        </is>
      </c>
      <c r="B8" s="3" t="n">
        <v>97994.5</v>
      </c>
      <c r="C8" s="3" t="n">
        <v>147</v>
      </c>
      <c r="D8" s="3" t="n">
        <v>41</v>
      </c>
    </row>
    <row r="9">
      <c r="A9" s="3" t="inlineStr">
        <is>
          <t>Switzerland</t>
        </is>
      </c>
      <c r="B9" s="3" t="n">
        <v>94024.59</v>
      </c>
      <c r="C9" s="3" t="n">
        <v>85</v>
      </c>
      <c r="D9" s="3" t="n">
        <v>22</v>
      </c>
    </row>
    <row r="10">
      <c r="A10" s="3" t="inlineStr">
        <is>
          <t>Sweden</t>
        </is>
      </c>
      <c r="B10" s="3" t="n">
        <v>86319.14</v>
      </c>
      <c r="C10" s="3" t="n">
        <v>99</v>
      </c>
      <c r="D10" s="3" t="n">
        <v>19</v>
      </c>
    </row>
    <row r="11">
      <c r="A11" s="3" t="inlineStr">
        <is>
          <t>Denmark</t>
        </is>
      </c>
      <c r="B11" s="3" t="n">
        <v>67422.69</v>
      </c>
      <c r="C11" s="3" t="n">
        <v>42</v>
      </c>
      <c r="D11" s="3" t="n">
        <v>12</v>
      </c>
    </row>
    <row r="12">
      <c r="A12" s="3" t="inlineStr">
        <is>
          <t>Belgium</t>
        </is>
      </c>
      <c r="B12" s="3" t="n">
        <v>56993.17</v>
      </c>
      <c r="C12" s="3" t="n">
        <v>143</v>
      </c>
      <c r="D12" s="3" t="n">
        <v>29</v>
      </c>
    </row>
    <row r="13">
      <c r="A13" s="3" t="inlineStr">
        <is>
          <t>Portugal</t>
        </is>
      </c>
      <c r="B13" s="3" t="n">
        <v>47455.99</v>
      </c>
      <c r="C13" s="3" t="n">
        <v>86</v>
      </c>
      <c r="D13" s="3" t="n">
        <v>24</v>
      </c>
    </row>
    <row r="14">
      <c r="A14" s="3" t="inlineStr">
        <is>
          <t>Channel Islands</t>
        </is>
      </c>
      <c r="B14" s="3" t="n">
        <v>44030.33</v>
      </c>
      <c r="C14" s="3" t="n">
        <v>54</v>
      </c>
      <c r="D14" s="3" t="n">
        <v>13</v>
      </c>
    </row>
    <row r="15">
      <c r="A15" s="3" t="inlineStr">
        <is>
          <t>Japan</t>
        </is>
      </c>
      <c r="B15" s="3" t="n">
        <v>43023.91</v>
      </c>
      <c r="C15" s="3" t="n">
        <v>33</v>
      </c>
      <c r="D15" s="3" t="n">
        <v>10</v>
      </c>
    </row>
    <row r="16">
      <c r="A16" s="3" t="inlineStr">
        <is>
          <t>Norway</t>
        </is>
      </c>
      <c r="B16" s="3" t="n">
        <v>38575.36</v>
      </c>
      <c r="C16" s="3" t="n">
        <v>39</v>
      </c>
      <c r="D16" s="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13" customWidth="1" min="3" max="3"/>
    <col width="16" customWidth="1" min="4" max="4"/>
  </cols>
  <sheetData>
    <row r="1">
      <c r="A1" s="6" t="inlineStr">
        <is>
          <t>stock_code</t>
        </is>
      </c>
      <c r="B1" s="6" t="inlineStr">
        <is>
          <t>description</t>
        </is>
      </c>
      <c r="C1" s="6" t="inlineStr">
        <is>
          <t>units_sold</t>
        </is>
      </c>
      <c r="D1" s="6" t="inlineStr">
        <is>
          <t>total_revenue</t>
        </is>
      </c>
    </row>
    <row r="2">
      <c r="A2" s="3" t="inlineStr">
        <is>
          <t>22423</t>
        </is>
      </c>
      <c r="B2" s="3" t="inlineStr">
        <is>
          <t>REGENCY CAKESTAND 3 TIER</t>
        </is>
      </c>
      <c r="C2" s="3" t="n">
        <v>26478</v>
      </c>
      <c r="D2" s="3" t="n">
        <v>330590.32</v>
      </c>
    </row>
    <row r="3">
      <c r="A3" s="3" t="inlineStr">
        <is>
          <t>85123A</t>
        </is>
      </c>
      <c r="B3" s="3" t="inlineStr">
        <is>
          <t>WHITE HANGING HEART T-LIGHT HOLDER</t>
        </is>
      </c>
      <c r="C3" s="3" t="n">
        <v>94203</v>
      </c>
      <c r="D3" s="3" t="n">
        <v>257724.71</v>
      </c>
    </row>
    <row r="4">
      <c r="A4" s="3" t="inlineStr">
        <is>
          <t>85099B</t>
        </is>
      </c>
      <c r="B4" s="3" t="inlineStr">
        <is>
          <t>JUMBO BAG RED WHITE SPOTTY</t>
        </is>
      </c>
      <c r="C4" s="3" t="n">
        <v>96757</v>
      </c>
      <c r="D4" s="3" t="n">
        <v>180569.34</v>
      </c>
    </row>
    <row r="5">
      <c r="A5" s="3" t="inlineStr">
        <is>
          <t>23843</t>
        </is>
      </c>
      <c r="B5" s="3" t="inlineStr">
        <is>
          <t>PAPER CRAFT , LITTLE BIRDIE</t>
        </is>
      </c>
      <c r="C5" s="3" t="n">
        <v>80995</v>
      </c>
      <c r="D5" s="3" t="n">
        <v>168469.6</v>
      </c>
    </row>
    <row r="6">
      <c r="A6" s="3" t="inlineStr">
        <is>
          <t>47566</t>
        </is>
      </c>
      <c r="B6" s="3" t="inlineStr">
        <is>
          <t>PARTY BUNTING</t>
        </is>
      </c>
      <c r="C6" s="3" t="n">
        <v>28200</v>
      </c>
      <c r="D6" s="3" t="n">
        <v>148318.28</v>
      </c>
    </row>
    <row r="7">
      <c r="A7" s="3" t="inlineStr">
        <is>
          <t>84879</t>
        </is>
      </c>
      <c r="B7" s="3" t="inlineStr">
        <is>
          <t>ASSORTED COLOUR BIRD ORNAMENT</t>
        </is>
      </c>
      <c r="C7" s="3" t="n">
        <v>80082</v>
      </c>
      <c r="D7" s="3" t="n">
        <v>129324.49</v>
      </c>
    </row>
    <row r="8">
      <c r="A8" s="3" t="inlineStr">
        <is>
          <t>22086</t>
        </is>
      </c>
      <c r="B8" s="3" t="inlineStr">
        <is>
          <t>PAPER CHAIN KIT 50'S CHRISTMAS</t>
        </is>
      </c>
      <c r="C8" s="3" t="n">
        <v>35084</v>
      </c>
      <c r="D8" s="3" t="n">
        <v>117760.29</v>
      </c>
    </row>
    <row r="9">
      <c r="A9" s="3" t="inlineStr">
        <is>
          <t>23166</t>
        </is>
      </c>
      <c r="B9" s="3" t="inlineStr">
        <is>
          <t>MEDIUM CERAMIC TOP STORAGE JAR</t>
        </is>
      </c>
      <c r="C9" s="3" t="n">
        <v>78033</v>
      </c>
      <c r="D9" s="3" t="n">
        <v>81700.92</v>
      </c>
    </row>
    <row r="10">
      <c r="A10" s="3" t="inlineStr">
        <is>
          <t>79321</t>
        </is>
      </c>
      <c r="B10" s="3" t="inlineStr">
        <is>
          <t>CHILLI LIGHTS</t>
        </is>
      </c>
      <c r="C10" s="3" t="n">
        <v>15841</v>
      </c>
      <c r="D10" s="3" t="n">
        <v>80540.88</v>
      </c>
    </row>
    <row r="11">
      <c r="A11" s="3" t="inlineStr">
        <is>
          <t>22197</t>
        </is>
      </c>
      <c r="B11" s="3" t="inlineStr">
        <is>
          <t>POPCORN HOLDER , SMALL</t>
        </is>
      </c>
      <c r="C11" s="3" t="n">
        <v>88499</v>
      </c>
      <c r="D11" s="3" t="n">
        <v>79520.2</v>
      </c>
    </row>
    <row r="12">
      <c r="A12" s="3" t="inlineStr">
        <is>
          <t>22386</t>
        </is>
      </c>
      <c r="B12" s="3" t="inlineStr">
        <is>
          <t>JUMBO BAG PINK WITH WHITE SPOTS</t>
        </is>
      </c>
      <c r="C12" s="3" t="n">
        <v>39437</v>
      </c>
      <c r="D12" s="3" t="n">
        <v>76324.62</v>
      </c>
    </row>
    <row r="13">
      <c r="A13" s="3" t="inlineStr">
        <is>
          <t>84347</t>
        </is>
      </c>
      <c r="B13" s="3" t="inlineStr">
        <is>
          <t>ROTATING SILVER ANGELS T-LIGHT HLDR</t>
        </is>
      </c>
      <c r="C13" s="3" t="n">
        <v>31409</v>
      </c>
      <c r="D13" s="3" t="n">
        <v>71300.39999999999</v>
      </c>
    </row>
    <row r="14">
      <c r="A14" s="3" t="inlineStr">
        <is>
          <t>20725</t>
        </is>
      </c>
      <c r="B14" s="3" t="inlineStr">
        <is>
          <t>LUNCH BAG RED SPOTTY</t>
        </is>
      </c>
      <c r="C14" s="3" t="n">
        <v>40317</v>
      </c>
      <c r="D14" s="3" t="n">
        <v>71106.28999999999</v>
      </c>
    </row>
    <row r="15">
      <c r="A15" s="3" t="inlineStr">
        <is>
          <t>85099F</t>
        </is>
      </c>
      <c r="B15" s="3" t="inlineStr">
        <is>
          <t>JUMBO BAG STRAWBERRY</t>
        </is>
      </c>
      <c r="C15" s="3" t="n">
        <v>36860</v>
      </c>
      <c r="D15" s="3" t="n">
        <v>67985.77</v>
      </c>
    </row>
    <row r="16">
      <c r="A16" s="3" t="inlineStr">
        <is>
          <t>48138</t>
        </is>
      </c>
      <c r="B16" s="3" t="inlineStr">
        <is>
          <t>DOOR MAT UNION FLAG</t>
        </is>
      </c>
      <c r="C16" s="3" t="n">
        <v>10077</v>
      </c>
      <c r="D16" s="3" t="n">
        <v>67010.31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2026-09-14T20:24:46Z</dcterms:created>
  <dcterms:modified xsi:type="dcterms:W3CDTF">2026-09-14T20:24:47Z</dcterms:modified>
</cp:coreProperties>
</file>